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albush/Desktop/"/>
    </mc:Choice>
  </mc:AlternateContent>
  <xr:revisionPtr revIDLastSave="0" documentId="8_{F588AC72-91B4-B44F-B33C-69CD660468F7}" xr6:coauthVersionLast="47" xr6:coauthVersionMax="47" xr10:uidLastSave="{00000000-0000-0000-0000-000000000000}"/>
  <bookViews>
    <workbookView xWindow="680" yWindow="740" windowWidth="28040" windowHeight="17160" activeTab="5" xr2:uid="{BE2F94A7-B249-7940-A5F1-A59025B6FB3B}"/>
  </bookViews>
  <sheets>
    <sheet name="helpdesk_tickets" sheetId="1" r:id="rId1"/>
    <sheet name="KPI_calculations" sheetId="2" r:id="rId2"/>
    <sheet name="Pivot_Tech" sheetId="5" r:id="rId3"/>
    <sheet name="Pivot_Priority" sheetId="6" r:id="rId4"/>
    <sheet name="Pivot_Time" sheetId="7" r:id="rId5"/>
    <sheet name="Dashboard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C2" i="2"/>
</calcChain>
</file>

<file path=xl/sharedStrings.xml><?xml version="1.0" encoding="utf-8"?>
<sst xmlns="http://schemas.openxmlformats.org/spreadsheetml/2006/main" count="113" uniqueCount="34">
  <si>
    <t>Ticket ID</t>
  </si>
  <si>
    <t>Date</t>
  </si>
  <si>
    <t>Status</t>
  </si>
  <si>
    <t>Priority</t>
  </si>
  <si>
    <t>Assigned Tech</t>
  </si>
  <si>
    <t>Time to Resolve (hrs)</t>
  </si>
  <si>
    <t>Closed</t>
  </si>
  <si>
    <t>High</t>
  </si>
  <si>
    <t>Jordan</t>
  </si>
  <si>
    <t>Open</t>
  </si>
  <si>
    <t>Medium</t>
  </si>
  <si>
    <t>Riley</t>
  </si>
  <si>
    <t>Low</t>
  </si>
  <si>
    <t>Casey</t>
  </si>
  <si>
    <t>Alex</t>
  </si>
  <si>
    <t>Nova</t>
  </si>
  <si>
    <t>KPI Name</t>
  </si>
  <si>
    <t>Formula</t>
  </si>
  <si>
    <t>Value</t>
  </si>
  <si>
    <t>Total Tickets</t>
  </si>
  <si>
    <t>Closed Tickets (%)</t>
  </si>
  <si>
    <t>Average Resolution (hrs)</t>
  </si>
  <si>
    <t>Tickets by Tech: Jordan</t>
  </si>
  <si>
    <t>Tickets by Priority: High</t>
  </si>
  <si>
    <t>' =COUNTA(helpdesk_tickets!A:A)-1</t>
  </si>
  <si>
    <t>' =COUNTIF(helpdesk_tickets!C:C,"Closed")/COUNTA(helpdesk_tickets!A:A)</t>
  </si>
  <si>
    <t>' =AVERAGEIF(helpdesk_tickets!F:F,"&gt;0")</t>
  </si>
  <si>
    <t>' =COUNTIF(helpdesk_tickets!E:E,"Jordan")</t>
  </si>
  <si>
    <t>' =COUNTIF(helpdesk_tickets!D:D,"High")</t>
  </si>
  <si>
    <t>Row Labels</t>
  </si>
  <si>
    <t>Grand Total</t>
  </si>
  <si>
    <t>Count of Ticket ID</t>
  </si>
  <si>
    <t>IT Helpdesk Dashboard – Ticket Performance Overview</t>
  </si>
  <si>
    <t>Date Range: Jan 6–Jan 16, 2025     |     Created by: Kamal 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</si>
</sst>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8" fillId="0" borderId="0" xfId="0" applyFont="1"/>
    <xf numFmtId="9" fontId="0" fillId="0" borderId="0" xfId="1" applyFont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[helpdesk_tickets.xlsx]Pivot_Tech!PivotTable3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Pivot_Tech!$B$3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Pivot_Tech!$A$4:$A$9</c:f>
              <c:strCache>
                <c:ptCount val="5"/>
                <c:pt idx="0">
                  <c:v>Alex</c:v>
                </c:pt>
                <c:pt idx="1">
                  <c:v>Casey</c:v>
                </c:pt>
                <c:pt idx="2">
                  <c:v>Jordan</c:v>
                </c:pt>
                <c:pt idx="3">
                  <c:v>Nova</c:v>
                </c:pt>
                <c:pt idx="4">
                  <c:v>Riley</c:v>
                </c:pt>
              </c:strCache>
            </c:strRef>
          </c:cat>
          <c:val>
            <c:numRef>
              <c:f>Pivot_Tech!$B$4:$B$9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6-E042-A8F5-4F49DAED9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694896"/>
        <c:axId val="607631472"/>
      </c:barChart>
      <c:catAx>
        <c:axId val="60769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31472"/>
        <c:crosses val="autoZero"/>
        <c:auto val="1"/>
        <c:lblAlgn val="ctr"/>
        <c:lblOffset val="100"/>
        <c:noMultiLvlLbl val="0"/>
      </c:catAx>
      <c:valAx>
        <c:axId val="60763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9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[helpdesk_tickets.xlsx]Pivot_Priority!PivotTable4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Pivot_Priority!$B$3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Pivot_Priority!$A$4:$A$7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Pivot_Priority!$B$4:$B$7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6-6541-A463-0285F7C29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7919472"/>
        <c:axId val="607921200"/>
      </c:barChart>
      <c:valAx>
        <c:axId val="60792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19472"/>
        <c:crosses val="autoZero"/>
        <c:crossBetween val="between"/>
      </c:valAx>
      <c:catAx>
        <c:axId val="607919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21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[helpdesk_tickets.xlsx]Pivot_Time!PivotTable5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Pivot_Time!$B$3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Pivot_Time!$A$4:$A$15</c:f>
              <c:strCache>
                <c:ptCount val="11"/>
                <c:pt idx="0">
                  <c:v>1/6/25</c:v>
                </c:pt>
                <c:pt idx="1">
                  <c:v>1/7/25</c:v>
                </c:pt>
                <c:pt idx="2">
                  <c:v>1/8/25</c:v>
                </c:pt>
                <c:pt idx="3">
                  <c:v>1/9/25</c:v>
                </c:pt>
                <c:pt idx="4">
                  <c:v>1/10/25</c:v>
                </c:pt>
                <c:pt idx="5">
                  <c:v>1/11/25</c:v>
                </c:pt>
                <c:pt idx="6">
                  <c:v>1/12/25</c:v>
                </c:pt>
                <c:pt idx="7">
                  <c:v>1/13/25</c:v>
                </c:pt>
                <c:pt idx="8">
                  <c:v>1/14/25</c:v>
                </c:pt>
                <c:pt idx="9">
                  <c:v>1/15/25</c:v>
                </c:pt>
                <c:pt idx="10">
                  <c:v>1/16/25</c:v>
                </c:pt>
              </c:strCache>
            </c:strRef>
          </c:cat>
          <c:val>
            <c:numRef>
              <c:f>Pivot_Time!$B$4:$B$15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F3-5F44-9560-A46FCAF8B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261920"/>
        <c:axId val="606357856"/>
      </c:lineChart>
      <c:catAx>
        <c:axId val="6062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57856"/>
        <c:crosses val="autoZero"/>
        <c:auto val="1"/>
        <c:lblAlgn val="ctr"/>
        <c:lblOffset val="100"/>
        <c:noMultiLvlLbl val="0"/>
      </c:catAx>
      <c:valAx>
        <c:axId val="6063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10</xdr:row>
      <xdr:rowOff>44450</xdr:rowOff>
    </xdr:from>
    <xdr:to>
      <xdr:col>7</xdr:col>
      <xdr:colOff>431800</xdr:colOff>
      <xdr:row>23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CC209F-3485-48BE-96F5-585D65146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12</xdr:row>
      <xdr:rowOff>133350</xdr:rowOff>
    </xdr:from>
    <xdr:to>
      <xdr:col>10</xdr:col>
      <xdr:colOff>342900</xdr:colOff>
      <xdr:row>26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10E74-7E2B-D4F4-27D5-6E52F965B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12</xdr:row>
      <xdr:rowOff>133350</xdr:rowOff>
    </xdr:from>
    <xdr:to>
      <xdr:col>10</xdr:col>
      <xdr:colOff>342900</xdr:colOff>
      <xdr:row>26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378E3-0D12-A068-2D3E-1A748A783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5</xdr:row>
      <xdr:rowOff>63500</xdr:rowOff>
    </xdr:from>
    <xdr:to>
      <xdr:col>4</xdr:col>
      <xdr:colOff>698500</xdr:colOff>
      <xdr:row>16</xdr:row>
      <xdr:rowOff>63500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BAF13F2-FD74-93A2-8262-8748A9AE1F23}"/>
            </a:ext>
          </a:extLst>
        </xdr:cNvPr>
        <xdr:cNvGrpSpPr/>
      </xdr:nvGrpSpPr>
      <xdr:grpSpPr>
        <a:xfrm>
          <a:off x="850900" y="1079500"/>
          <a:ext cx="3149600" cy="2235200"/>
          <a:chOff x="2349500" y="1003300"/>
          <a:chExt cx="3149600" cy="2235200"/>
        </a:xfrm>
      </xdr:grpSpPr>
      <xdr:sp macro="" textlink="">
        <xdr:nvSpPr>
          <xdr:cNvPr id="2" name="Rounded Rectangle 1">
            <a:extLst>
              <a:ext uri="{FF2B5EF4-FFF2-40B4-BE49-F238E27FC236}">
                <a16:creationId xmlns:a16="http://schemas.microsoft.com/office/drawing/2014/main" id="{B8AE4C8D-7E6A-D328-D198-647A1BC4320D}"/>
              </a:ext>
            </a:extLst>
          </xdr:cNvPr>
          <xdr:cNvSpPr/>
        </xdr:nvSpPr>
        <xdr:spPr>
          <a:xfrm>
            <a:off x="2349500" y="1003300"/>
            <a:ext cx="3149600" cy="22352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cap="all" baseline="0"/>
              <a:t>TOTAL TICKETS</a:t>
            </a:r>
          </a:p>
          <a:p>
            <a:pPr algn="ctr"/>
            <a:endParaRPr lang="en-US"/>
          </a:p>
        </xdr:txBody>
      </xdr:sp>
      <xdr:sp macro="" textlink="KPI_calculations!C2">
        <xdr:nvSpPr>
          <xdr:cNvPr id="4" name="TextBox 3">
            <a:extLst>
              <a:ext uri="{FF2B5EF4-FFF2-40B4-BE49-F238E27FC236}">
                <a16:creationId xmlns:a16="http://schemas.microsoft.com/office/drawing/2014/main" id="{F7C0D490-AB52-AE17-CF8C-4D205EFD7F3C}"/>
              </a:ext>
            </a:extLst>
          </xdr:cNvPr>
          <xdr:cNvSpPr txBox="1"/>
        </xdr:nvSpPr>
        <xdr:spPr>
          <a:xfrm>
            <a:off x="3048000" y="2273300"/>
            <a:ext cx="1714500" cy="6731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0753F17-3B07-144E-8B5A-575E97CD8D7E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25</a:t>
            </a:fld>
            <a:endParaRPr lang="en-US" sz="2400" b="1"/>
          </a:p>
        </xdr:txBody>
      </xdr:sp>
    </xdr:grpSp>
    <xdr:clientData/>
  </xdr:twoCellAnchor>
  <xdr:twoCellAnchor>
    <xdr:from>
      <xdr:col>8</xdr:col>
      <xdr:colOff>25400</xdr:colOff>
      <xdr:row>5</xdr:row>
      <xdr:rowOff>76200</xdr:rowOff>
    </xdr:from>
    <xdr:to>
      <xdr:col>11</xdr:col>
      <xdr:colOff>698500</xdr:colOff>
      <xdr:row>16</xdr:row>
      <xdr:rowOff>76200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3664E74-6CFF-F246-8C27-E004B4BF1B28}"/>
            </a:ext>
          </a:extLst>
        </xdr:cNvPr>
        <xdr:cNvGrpSpPr/>
      </xdr:nvGrpSpPr>
      <xdr:grpSpPr>
        <a:xfrm>
          <a:off x="6629400" y="1092200"/>
          <a:ext cx="3149600" cy="2235200"/>
          <a:chOff x="2349500" y="1003300"/>
          <a:chExt cx="3149600" cy="2235200"/>
        </a:xfrm>
      </xdr:grpSpPr>
      <xdr:sp macro="" textlink="">
        <xdr:nvSpPr>
          <xdr:cNvPr id="7" name="Rounded Rectangle 6">
            <a:extLst>
              <a:ext uri="{FF2B5EF4-FFF2-40B4-BE49-F238E27FC236}">
                <a16:creationId xmlns:a16="http://schemas.microsoft.com/office/drawing/2014/main" id="{F0A2E471-0F84-86A1-1B60-FB51D782FFAE}"/>
              </a:ext>
            </a:extLst>
          </xdr:cNvPr>
          <xdr:cNvSpPr/>
        </xdr:nvSpPr>
        <xdr:spPr>
          <a:xfrm>
            <a:off x="2349500" y="1003300"/>
            <a:ext cx="3149600" cy="22352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cap="all" baseline="0"/>
              <a:t>% Closed TICKETS in 24 hrs</a:t>
            </a:r>
          </a:p>
          <a:p>
            <a:pPr algn="ctr"/>
            <a:endParaRPr lang="en-US"/>
          </a:p>
        </xdr:txBody>
      </xdr:sp>
      <xdr:sp macro="" textlink="KPI_calculations!C3">
        <xdr:nvSpPr>
          <xdr:cNvPr id="8" name="TextBox 7">
            <a:extLst>
              <a:ext uri="{FF2B5EF4-FFF2-40B4-BE49-F238E27FC236}">
                <a16:creationId xmlns:a16="http://schemas.microsoft.com/office/drawing/2014/main" id="{6DC86E1E-C731-42F3-F822-0181253FB85A}"/>
              </a:ext>
            </a:extLst>
          </xdr:cNvPr>
          <xdr:cNvSpPr txBox="1"/>
        </xdr:nvSpPr>
        <xdr:spPr>
          <a:xfrm>
            <a:off x="3048000" y="2273300"/>
            <a:ext cx="1714500" cy="6731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567F99C-8528-D143-96D5-449FED2D1542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77%</a:t>
            </a:fld>
            <a:endParaRPr lang="en-US" sz="2400" b="1"/>
          </a:p>
        </xdr:txBody>
      </xdr:sp>
    </xdr:grpSp>
    <xdr:clientData/>
  </xdr:twoCellAnchor>
  <xdr:twoCellAnchor>
    <xdr:from>
      <xdr:col>1</xdr:col>
      <xdr:colOff>38100</xdr:colOff>
      <xdr:row>22</xdr:row>
      <xdr:rowOff>190500</xdr:rowOff>
    </xdr:from>
    <xdr:to>
      <xdr:col>4</xdr:col>
      <xdr:colOff>711200</xdr:colOff>
      <xdr:row>33</xdr:row>
      <xdr:rowOff>190500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59ECF43-F29F-6E4D-B185-639BE88C034D}"/>
            </a:ext>
          </a:extLst>
        </xdr:cNvPr>
        <xdr:cNvGrpSpPr/>
      </xdr:nvGrpSpPr>
      <xdr:grpSpPr>
        <a:xfrm>
          <a:off x="863600" y="4660900"/>
          <a:ext cx="3149600" cy="2235200"/>
          <a:chOff x="2349500" y="1003300"/>
          <a:chExt cx="3149600" cy="2235200"/>
        </a:xfrm>
      </xdr:grpSpPr>
      <xdr:sp macro="" textlink="">
        <xdr:nvSpPr>
          <xdr:cNvPr id="10" name="Rounded Rectangle 9">
            <a:extLst>
              <a:ext uri="{FF2B5EF4-FFF2-40B4-BE49-F238E27FC236}">
                <a16:creationId xmlns:a16="http://schemas.microsoft.com/office/drawing/2014/main" id="{29A2ECB6-9711-B6C9-43F8-D74175E83D0F}"/>
              </a:ext>
            </a:extLst>
          </xdr:cNvPr>
          <xdr:cNvSpPr/>
        </xdr:nvSpPr>
        <xdr:spPr>
          <a:xfrm>
            <a:off x="2349500" y="1003300"/>
            <a:ext cx="3149600" cy="22352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cap="all" baseline="0"/>
              <a:t>High Priority TICKETS</a:t>
            </a:r>
          </a:p>
          <a:p>
            <a:pPr algn="ctr"/>
            <a:endParaRPr lang="en-US"/>
          </a:p>
        </xdr:txBody>
      </xdr:sp>
      <xdr:sp macro="" textlink="KPI_calculations!C6">
        <xdr:nvSpPr>
          <xdr:cNvPr id="11" name="TextBox 10">
            <a:extLst>
              <a:ext uri="{FF2B5EF4-FFF2-40B4-BE49-F238E27FC236}">
                <a16:creationId xmlns:a16="http://schemas.microsoft.com/office/drawing/2014/main" id="{BD034CDC-DF8A-78F0-E529-0D5052C254AB}"/>
              </a:ext>
            </a:extLst>
          </xdr:cNvPr>
          <xdr:cNvSpPr txBox="1"/>
        </xdr:nvSpPr>
        <xdr:spPr>
          <a:xfrm>
            <a:off x="3048000" y="2273300"/>
            <a:ext cx="1714500" cy="6731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3E03E53-D99C-D042-99BA-E94558DFD5A7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8</a:t>
            </a:fld>
            <a:endParaRPr lang="en-US" sz="2400" b="1"/>
          </a:p>
        </xdr:txBody>
      </xdr:sp>
    </xdr:grpSp>
    <xdr:clientData/>
  </xdr:twoCellAnchor>
  <xdr:twoCellAnchor>
    <xdr:from>
      <xdr:col>8</xdr:col>
      <xdr:colOff>63500</xdr:colOff>
      <xdr:row>23</xdr:row>
      <xdr:rowOff>38100</xdr:rowOff>
    </xdr:from>
    <xdr:to>
      <xdr:col>11</xdr:col>
      <xdr:colOff>736600</xdr:colOff>
      <xdr:row>34</xdr:row>
      <xdr:rowOff>38100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B5F39463-198E-1946-8FC1-7502876D90FE}"/>
            </a:ext>
          </a:extLst>
        </xdr:cNvPr>
        <xdr:cNvGrpSpPr/>
      </xdr:nvGrpSpPr>
      <xdr:grpSpPr>
        <a:xfrm>
          <a:off x="6667500" y="4711700"/>
          <a:ext cx="3149600" cy="2235200"/>
          <a:chOff x="2349500" y="1003300"/>
          <a:chExt cx="3149600" cy="2235200"/>
        </a:xfrm>
      </xdr:grpSpPr>
      <xdr:sp macro="" textlink="">
        <xdr:nvSpPr>
          <xdr:cNvPr id="13" name="Rounded Rectangle 12">
            <a:extLst>
              <a:ext uri="{FF2B5EF4-FFF2-40B4-BE49-F238E27FC236}">
                <a16:creationId xmlns:a16="http://schemas.microsoft.com/office/drawing/2014/main" id="{C9A8A477-4528-A52E-8077-27ECBCD2591D}"/>
              </a:ext>
            </a:extLst>
          </xdr:cNvPr>
          <xdr:cNvSpPr/>
        </xdr:nvSpPr>
        <xdr:spPr>
          <a:xfrm>
            <a:off x="2349500" y="1003300"/>
            <a:ext cx="3149600" cy="223520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cap="all" baseline="0"/>
              <a:t>Avg resolution (hrs)</a:t>
            </a:r>
          </a:p>
          <a:p>
            <a:pPr algn="ctr"/>
            <a:endParaRPr lang="en-US"/>
          </a:p>
        </xdr:txBody>
      </xdr:sp>
      <xdr:sp macro="" textlink="KPI_calculations!C4">
        <xdr:nvSpPr>
          <xdr:cNvPr id="14" name="TextBox 13">
            <a:extLst>
              <a:ext uri="{FF2B5EF4-FFF2-40B4-BE49-F238E27FC236}">
                <a16:creationId xmlns:a16="http://schemas.microsoft.com/office/drawing/2014/main" id="{D3E63BBE-94C5-0959-2796-1015407B528F}"/>
              </a:ext>
            </a:extLst>
          </xdr:cNvPr>
          <xdr:cNvSpPr txBox="1"/>
        </xdr:nvSpPr>
        <xdr:spPr>
          <a:xfrm>
            <a:off x="3048000" y="2273300"/>
            <a:ext cx="1714500" cy="6731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F801116-5B09-1E44-A25B-559BE3EF9C3D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ctr"/>
              <a:t>3.045</a:t>
            </a:fld>
            <a:endParaRPr lang="en-US" sz="24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l Bush" refreshedDate="45963.471782986111" createdVersion="8" refreshedVersion="8" minRefreshableVersion="3" recordCount="25" xr:uid="{DC1347D7-EEA2-6A49-AB5B-440D363BC8F1}">
  <cacheSource type="worksheet">
    <worksheetSource ref="A1:F26" sheet="helpdesk_tickets"/>
  </cacheSource>
  <cacheFields count="6">
    <cacheField name="Ticket ID" numFmtId="0">
      <sharedItems containsSemiMixedTypes="0" containsString="0" containsNumber="1" containsInteger="1" minValue="1001" maxValue="1025" count="25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</sharedItems>
    </cacheField>
    <cacheField name="Date" numFmtId="14">
      <sharedItems containsSemiMixedTypes="0" containsNonDate="0" containsDate="1" containsString="0" minDate="2025-01-06T00:00:00" maxDate="2025-01-17T00:00:00" count="11"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</sharedItems>
    </cacheField>
    <cacheField name="Status" numFmtId="0">
      <sharedItems/>
    </cacheField>
    <cacheField name="Priority" numFmtId="0">
      <sharedItems count="3">
        <s v="High"/>
        <s v="Medium"/>
        <s v="Low"/>
      </sharedItems>
    </cacheField>
    <cacheField name="Assigned Tech" numFmtId="0">
      <sharedItems count="5">
        <s v="Jordan"/>
        <s v="Riley"/>
        <s v="Casey"/>
        <s v="Alex"/>
        <s v="Nova"/>
      </sharedItems>
    </cacheField>
    <cacheField name="Time to Resolve (hrs)" numFmtId="0">
      <sharedItems containsSemiMixedTypes="0" containsString="0" containsNumber="1" minValue="0" maxValue="6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s v="Closed"/>
    <x v="0"/>
    <x v="0"/>
    <n v="4.3"/>
  </r>
  <r>
    <x v="1"/>
    <x v="0"/>
    <s v="Open"/>
    <x v="1"/>
    <x v="1"/>
    <n v="0"/>
  </r>
  <r>
    <x v="2"/>
    <x v="1"/>
    <s v="Closed"/>
    <x v="2"/>
    <x v="2"/>
    <n v="2.5"/>
  </r>
  <r>
    <x v="3"/>
    <x v="1"/>
    <s v="Closed"/>
    <x v="1"/>
    <x v="3"/>
    <n v="3.8"/>
  </r>
  <r>
    <x v="4"/>
    <x v="2"/>
    <s v="Open"/>
    <x v="0"/>
    <x v="4"/>
    <n v="0"/>
  </r>
  <r>
    <x v="5"/>
    <x v="2"/>
    <s v="Closed"/>
    <x v="2"/>
    <x v="1"/>
    <n v="1.7"/>
  </r>
  <r>
    <x v="6"/>
    <x v="3"/>
    <s v="Closed"/>
    <x v="0"/>
    <x v="2"/>
    <n v="6.2"/>
  </r>
  <r>
    <x v="7"/>
    <x v="3"/>
    <s v="Closed"/>
    <x v="1"/>
    <x v="4"/>
    <n v="2.2999999999999998"/>
  </r>
  <r>
    <x v="8"/>
    <x v="3"/>
    <s v="Closed"/>
    <x v="2"/>
    <x v="0"/>
    <n v="0.6"/>
  </r>
  <r>
    <x v="9"/>
    <x v="4"/>
    <s v="Closed"/>
    <x v="0"/>
    <x v="0"/>
    <n v="3.9"/>
  </r>
  <r>
    <x v="10"/>
    <x v="4"/>
    <s v="Closed"/>
    <x v="1"/>
    <x v="3"/>
    <n v="2.1"/>
  </r>
  <r>
    <x v="11"/>
    <x v="5"/>
    <s v="Open"/>
    <x v="0"/>
    <x v="1"/>
    <n v="0"/>
  </r>
  <r>
    <x v="12"/>
    <x v="6"/>
    <s v="Closed"/>
    <x v="2"/>
    <x v="4"/>
    <n v="1.3"/>
  </r>
  <r>
    <x v="13"/>
    <x v="6"/>
    <s v="Closed"/>
    <x v="1"/>
    <x v="2"/>
    <n v="2.9"/>
  </r>
  <r>
    <x v="14"/>
    <x v="7"/>
    <s v="Closed"/>
    <x v="0"/>
    <x v="3"/>
    <n v="5.0999999999999996"/>
  </r>
  <r>
    <x v="15"/>
    <x v="7"/>
    <s v="Closed"/>
    <x v="2"/>
    <x v="0"/>
    <n v="1.2"/>
  </r>
  <r>
    <x v="16"/>
    <x v="7"/>
    <s v="Closed"/>
    <x v="1"/>
    <x v="4"/>
    <n v="2.6"/>
  </r>
  <r>
    <x v="17"/>
    <x v="8"/>
    <s v="Open"/>
    <x v="1"/>
    <x v="2"/>
    <n v="0"/>
  </r>
  <r>
    <x v="18"/>
    <x v="8"/>
    <s v="Closed"/>
    <x v="0"/>
    <x v="1"/>
    <n v="4.4000000000000004"/>
  </r>
  <r>
    <x v="19"/>
    <x v="8"/>
    <s v="Closed"/>
    <x v="2"/>
    <x v="3"/>
    <n v="1.9"/>
  </r>
  <r>
    <x v="20"/>
    <x v="9"/>
    <s v="Closed"/>
    <x v="0"/>
    <x v="0"/>
    <n v="6"/>
  </r>
  <r>
    <x v="21"/>
    <x v="9"/>
    <s v="Closed"/>
    <x v="1"/>
    <x v="2"/>
    <n v="3.4"/>
  </r>
  <r>
    <x v="22"/>
    <x v="9"/>
    <s v="Closed"/>
    <x v="2"/>
    <x v="1"/>
    <n v="1.5"/>
  </r>
  <r>
    <x v="23"/>
    <x v="10"/>
    <s v="Open"/>
    <x v="2"/>
    <x v="0"/>
    <n v="0"/>
  </r>
  <r>
    <x v="24"/>
    <x v="10"/>
    <s v="Closed"/>
    <x v="1"/>
    <x v="3"/>
    <n v="3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2DE67-BD0B-8948-8AB3-17B42D05ECC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6">
    <pivotField dataFiel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14"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D21CB-E08F-2643-8574-FAF4AC7A98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dataField="1"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D5C3F-F0B0-E148-8E38-D5034A9760B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6">
    <pivotField dataField="1" showAll="0"/>
    <pivotField axis="axisRow"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Ticke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049F-04DB-7043-BD4E-0A4EC34B41B8}">
  <dimension ref="A1:F26"/>
  <sheetViews>
    <sheetView workbookViewId="0">
      <selection activeCell="K17" sqref="K17"/>
    </sheetView>
  </sheetViews>
  <sheetFormatPr baseColWidth="10" defaultRowHeight="16" x14ac:dyDescent="0.2"/>
  <cols>
    <col min="5" max="5" width="12.1640625" customWidth="1"/>
    <col min="6" max="6" width="17.6640625" customWidth="1"/>
  </cols>
  <sheetData>
    <row r="1" spans="1:6" ht="17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">
      <c r="A2">
        <v>1001</v>
      </c>
      <c r="B2" s="1">
        <v>45663</v>
      </c>
      <c r="C2" t="s">
        <v>6</v>
      </c>
      <c r="D2" t="s">
        <v>7</v>
      </c>
      <c r="E2" t="s">
        <v>8</v>
      </c>
      <c r="F2">
        <v>4.3</v>
      </c>
    </row>
    <row r="3" spans="1:6" x14ac:dyDescent="0.2">
      <c r="A3">
        <v>1002</v>
      </c>
      <c r="B3" s="1">
        <v>45663</v>
      </c>
      <c r="C3" t="s">
        <v>9</v>
      </c>
      <c r="D3" t="s">
        <v>10</v>
      </c>
      <c r="E3" t="s">
        <v>11</v>
      </c>
      <c r="F3">
        <v>0</v>
      </c>
    </row>
    <row r="4" spans="1:6" x14ac:dyDescent="0.2">
      <c r="A4">
        <v>1003</v>
      </c>
      <c r="B4" s="1">
        <v>45664</v>
      </c>
      <c r="C4" t="s">
        <v>6</v>
      </c>
      <c r="D4" t="s">
        <v>12</v>
      </c>
      <c r="E4" t="s">
        <v>13</v>
      </c>
      <c r="F4">
        <v>2.5</v>
      </c>
    </row>
    <row r="5" spans="1:6" x14ac:dyDescent="0.2">
      <c r="A5">
        <v>1004</v>
      </c>
      <c r="B5" s="1">
        <v>45664</v>
      </c>
      <c r="C5" t="s">
        <v>6</v>
      </c>
      <c r="D5" t="s">
        <v>10</v>
      </c>
      <c r="E5" t="s">
        <v>14</v>
      </c>
      <c r="F5">
        <v>3.8</v>
      </c>
    </row>
    <row r="6" spans="1:6" x14ac:dyDescent="0.2">
      <c r="A6">
        <v>1005</v>
      </c>
      <c r="B6" s="1">
        <v>45665</v>
      </c>
      <c r="C6" t="s">
        <v>9</v>
      </c>
      <c r="D6" t="s">
        <v>7</v>
      </c>
      <c r="E6" t="s">
        <v>15</v>
      </c>
      <c r="F6">
        <v>0</v>
      </c>
    </row>
    <row r="7" spans="1:6" x14ac:dyDescent="0.2">
      <c r="A7">
        <v>1006</v>
      </c>
      <c r="B7" s="1">
        <v>45665</v>
      </c>
      <c r="C7" t="s">
        <v>6</v>
      </c>
      <c r="D7" t="s">
        <v>12</v>
      </c>
      <c r="E7" t="s">
        <v>11</v>
      </c>
      <c r="F7">
        <v>1.7</v>
      </c>
    </row>
    <row r="8" spans="1:6" x14ac:dyDescent="0.2">
      <c r="A8">
        <v>1007</v>
      </c>
      <c r="B8" s="1">
        <v>45666</v>
      </c>
      <c r="C8" t="s">
        <v>6</v>
      </c>
      <c r="D8" t="s">
        <v>7</v>
      </c>
      <c r="E8" t="s">
        <v>13</v>
      </c>
      <c r="F8">
        <v>6.2</v>
      </c>
    </row>
    <row r="9" spans="1:6" x14ac:dyDescent="0.2">
      <c r="A9">
        <v>1008</v>
      </c>
      <c r="B9" s="1">
        <v>45666</v>
      </c>
      <c r="C9" t="s">
        <v>6</v>
      </c>
      <c r="D9" t="s">
        <v>10</v>
      </c>
      <c r="E9" t="s">
        <v>15</v>
      </c>
      <c r="F9">
        <v>2.2999999999999998</v>
      </c>
    </row>
    <row r="10" spans="1:6" x14ac:dyDescent="0.2">
      <c r="A10">
        <v>1009</v>
      </c>
      <c r="B10" s="1">
        <v>45666</v>
      </c>
      <c r="C10" t="s">
        <v>6</v>
      </c>
      <c r="D10" t="s">
        <v>12</v>
      </c>
      <c r="E10" t="s">
        <v>8</v>
      </c>
      <c r="F10">
        <v>0.6</v>
      </c>
    </row>
    <row r="11" spans="1:6" x14ac:dyDescent="0.2">
      <c r="A11">
        <v>1010</v>
      </c>
      <c r="B11" s="1">
        <v>45667</v>
      </c>
      <c r="C11" t="s">
        <v>6</v>
      </c>
      <c r="D11" t="s">
        <v>7</v>
      </c>
      <c r="E11" t="s">
        <v>8</v>
      </c>
      <c r="F11">
        <v>3.9</v>
      </c>
    </row>
    <row r="12" spans="1:6" x14ac:dyDescent="0.2">
      <c r="A12">
        <v>1011</v>
      </c>
      <c r="B12" s="1">
        <v>45667</v>
      </c>
      <c r="C12" t="s">
        <v>6</v>
      </c>
      <c r="D12" t="s">
        <v>10</v>
      </c>
      <c r="E12" t="s">
        <v>14</v>
      </c>
      <c r="F12">
        <v>2.1</v>
      </c>
    </row>
    <row r="13" spans="1:6" x14ac:dyDescent="0.2">
      <c r="A13">
        <v>1012</v>
      </c>
      <c r="B13" s="1">
        <v>45668</v>
      </c>
      <c r="C13" t="s">
        <v>9</v>
      </c>
      <c r="D13" t="s">
        <v>7</v>
      </c>
      <c r="E13" t="s">
        <v>11</v>
      </c>
      <c r="F13">
        <v>0</v>
      </c>
    </row>
    <row r="14" spans="1:6" x14ac:dyDescent="0.2">
      <c r="A14">
        <v>1013</v>
      </c>
      <c r="B14" s="1">
        <v>45669</v>
      </c>
      <c r="C14" t="s">
        <v>6</v>
      </c>
      <c r="D14" t="s">
        <v>12</v>
      </c>
      <c r="E14" t="s">
        <v>15</v>
      </c>
      <c r="F14">
        <v>1.3</v>
      </c>
    </row>
    <row r="15" spans="1:6" x14ac:dyDescent="0.2">
      <c r="A15">
        <v>1014</v>
      </c>
      <c r="B15" s="1">
        <v>45669</v>
      </c>
      <c r="C15" t="s">
        <v>6</v>
      </c>
      <c r="D15" t="s">
        <v>10</v>
      </c>
      <c r="E15" t="s">
        <v>13</v>
      </c>
      <c r="F15">
        <v>2.9</v>
      </c>
    </row>
    <row r="16" spans="1:6" x14ac:dyDescent="0.2">
      <c r="A16">
        <v>1015</v>
      </c>
      <c r="B16" s="1">
        <v>45670</v>
      </c>
      <c r="C16" t="s">
        <v>6</v>
      </c>
      <c r="D16" t="s">
        <v>7</v>
      </c>
      <c r="E16" t="s">
        <v>14</v>
      </c>
      <c r="F16">
        <v>5.0999999999999996</v>
      </c>
    </row>
    <row r="17" spans="1:6" x14ac:dyDescent="0.2">
      <c r="A17">
        <v>1016</v>
      </c>
      <c r="B17" s="1">
        <v>45670</v>
      </c>
      <c r="C17" t="s">
        <v>6</v>
      </c>
      <c r="D17" t="s">
        <v>12</v>
      </c>
      <c r="E17" t="s">
        <v>8</v>
      </c>
      <c r="F17">
        <v>1.2</v>
      </c>
    </row>
    <row r="18" spans="1:6" x14ac:dyDescent="0.2">
      <c r="A18">
        <v>1017</v>
      </c>
      <c r="B18" s="1">
        <v>45670</v>
      </c>
      <c r="C18" t="s">
        <v>6</v>
      </c>
      <c r="D18" t="s">
        <v>10</v>
      </c>
      <c r="E18" t="s">
        <v>15</v>
      </c>
      <c r="F18">
        <v>2.6</v>
      </c>
    </row>
    <row r="19" spans="1:6" x14ac:dyDescent="0.2">
      <c r="A19">
        <v>1018</v>
      </c>
      <c r="B19" s="1">
        <v>45671</v>
      </c>
      <c r="C19" t="s">
        <v>9</v>
      </c>
      <c r="D19" t="s">
        <v>10</v>
      </c>
      <c r="E19" t="s">
        <v>13</v>
      </c>
      <c r="F19">
        <v>0</v>
      </c>
    </row>
    <row r="20" spans="1:6" x14ac:dyDescent="0.2">
      <c r="A20">
        <v>1019</v>
      </c>
      <c r="B20" s="1">
        <v>45671</v>
      </c>
      <c r="C20" t="s">
        <v>6</v>
      </c>
      <c r="D20" t="s">
        <v>7</v>
      </c>
      <c r="E20" t="s">
        <v>11</v>
      </c>
      <c r="F20">
        <v>4.4000000000000004</v>
      </c>
    </row>
    <row r="21" spans="1:6" x14ac:dyDescent="0.2">
      <c r="A21">
        <v>1020</v>
      </c>
      <c r="B21" s="1">
        <v>45671</v>
      </c>
      <c r="C21" t="s">
        <v>6</v>
      </c>
      <c r="D21" t="s">
        <v>12</v>
      </c>
      <c r="E21" t="s">
        <v>14</v>
      </c>
      <c r="F21">
        <v>1.9</v>
      </c>
    </row>
    <row r="22" spans="1:6" x14ac:dyDescent="0.2">
      <c r="A22">
        <v>1021</v>
      </c>
      <c r="B22" s="1">
        <v>45672</v>
      </c>
      <c r="C22" t="s">
        <v>6</v>
      </c>
      <c r="D22" t="s">
        <v>7</v>
      </c>
      <c r="E22" t="s">
        <v>8</v>
      </c>
      <c r="F22">
        <v>6</v>
      </c>
    </row>
    <row r="23" spans="1:6" x14ac:dyDescent="0.2">
      <c r="A23">
        <v>1022</v>
      </c>
      <c r="B23" s="1">
        <v>45672</v>
      </c>
      <c r="C23" t="s">
        <v>6</v>
      </c>
      <c r="D23" t="s">
        <v>10</v>
      </c>
      <c r="E23" t="s">
        <v>13</v>
      </c>
      <c r="F23">
        <v>3.4</v>
      </c>
    </row>
    <row r="24" spans="1:6" x14ac:dyDescent="0.2">
      <c r="A24">
        <v>1023</v>
      </c>
      <c r="B24" s="1">
        <v>45672</v>
      </c>
      <c r="C24" t="s">
        <v>6</v>
      </c>
      <c r="D24" t="s">
        <v>12</v>
      </c>
      <c r="E24" t="s">
        <v>11</v>
      </c>
      <c r="F24">
        <v>1.5</v>
      </c>
    </row>
    <row r="25" spans="1:6" x14ac:dyDescent="0.2">
      <c r="A25">
        <v>1024</v>
      </c>
      <c r="B25" s="1">
        <v>45673</v>
      </c>
      <c r="C25" t="s">
        <v>9</v>
      </c>
      <c r="D25" t="s">
        <v>12</v>
      </c>
      <c r="E25" t="s">
        <v>8</v>
      </c>
      <c r="F25">
        <v>0</v>
      </c>
    </row>
    <row r="26" spans="1:6" x14ac:dyDescent="0.2">
      <c r="A26">
        <v>1025</v>
      </c>
      <c r="B26" s="1">
        <v>45673</v>
      </c>
      <c r="C26" t="s">
        <v>6</v>
      </c>
      <c r="D26" t="s">
        <v>10</v>
      </c>
      <c r="E26" t="s">
        <v>14</v>
      </c>
      <c r="F26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B174-8D66-E145-9D4C-7B368FD5EBD1}">
  <dimension ref="A1:C6"/>
  <sheetViews>
    <sheetView workbookViewId="0">
      <selection activeCell="B24" sqref="B24"/>
    </sheetView>
  </sheetViews>
  <sheetFormatPr baseColWidth="10" defaultRowHeight="16" x14ac:dyDescent="0.2"/>
  <cols>
    <col min="1" max="1" width="20.6640625" customWidth="1"/>
    <col min="2" max="2" width="61.33203125" customWidth="1"/>
    <col min="3" max="3" width="25" customWidth="1"/>
  </cols>
  <sheetData>
    <row r="1" spans="1:3" ht="17" thickBot="1" x14ac:dyDescent="0.25">
      <c r="A1" s="4" t="s">
        <v>16</v>
      </c>
      <c r="B1" s="4" t="s">
        <v>17</v>
      </c>
      <c r="C1" s="4" t="s">
        <v>18</v>
      </c>
    </row>
    <row r="2" spans="1:3" x14ac:dyDescent="0.2">
      <c r="A2" t="s">
        <v>19</v>
      </c>
      <c r="B2" t="s">
        <v>24</v>
      </c>
      <c r="C2">
        <f>COUNTA(helpdesk_tickets!A:A)-1</f>
        <v>25</v>
      </c>
    </row>
    <row r="3" spans="1:3" ht="17" x14ac:dyDescent="0.25">
      <c r="A3" t="s">
        <v>20</v>
      </c>
      <c r="B3" s="2" t="s">
        <v>25</v>
      </c>
      <c r="C3" s="3">
        <f>COUNTIF(helpdesk_tickets!C:C,"Closed") / COUNTA(helpdesk_tickets!A:A)</f>
        <v>0.76923076923076927</v>
      </c>
    </row>
    <row r="4" spans="1:3" x14ac:dyDescent="0.2">
      <c r="A4" t="s">
        <v>21</v>
      </c>
      <c r="B4" t="s">
        <v>26</v>
      </c>
      <c r="C4">
        <f>AVERAGEIF(helpdesk_tickets!F:F,"&gt;0")</f>
        <v>3.0450000000000004</v>
      </c>
    </row>
    <row r="5" spans="1:3" ht="17" x14ac:dyDescent="0.25">
      <c r="A5" t="s">
        <v>22</v>
      </c>
      <c r="B5" s="2" t="s">
        <v>27</v>
      </c>
      <c r="C5">
        <f>COUNTIF(helpdesk_tickets!E:E,"Jordan")</f>
        <v>6</v>
      </c>
    </row>
    <row r="6" spans="1:3" x14ac:dyDescent="0.2">
      <c r="A6" t="s">
        <v>23</v>
      </c>
      <c r="B6" t="s">
        <v>28</v>
      </c>
      <c r="C6">
        <f>COUNTIF(helpdesk_tickets!D:D,"High")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2BEF-22CD-7B44-8028-5CCD3AD1B498}">
  <dimension ref="A3:B10"/>
  <sheetViews>
    <sheetView workbookViewId="0">
      <selection activeCell="F12" sqref="F12"/>
    </sheetView>
  </sheetViews>
  <sheetFormatPr baseColWidth="10" defaultRowHeight="16" x14ac:dyDescent="0.2"/>
  <cols>
    <col min="1" max="1" width="13" bestFit="1" customWidth="1"/>
    <col min="2" max="2" width="15.6640625" bestFit="1" customWidth="1"/>
  </cols>
  <sheetData>
    <row r="3" spans="1:2" x14ac:dyDescent="0.2">
      <c r="A3" s="5" t="s">
        <v>29</v>
      </c>
      <c r="B3" t="s">
        <v>31</v>
      </c>
    </row>
    <row r="4" spans="1:2" x14ac:dyDescent="0.2">
      <c r="A4" s="6" t="s">
        <v>14</v>
      </c>
      <c r="B4">
        <v>5</v>
      </c>
    </row>
    <row r="5" spans="1:2" x14ac:dyDescent="0.2">
      <c r="A5" s="6" t="s">
        <v>13</v>
      </c>
      <c r="B5">
        <v>5</v>
      </c>
    </row>
    <row r="6" spans="1:2" x14ac:dyDescent="0.2">
      <c r="A6" s="6" t="s">
        <v>8</v>
      </c>
      <c r="B6">
        <v>6</v>
      </c>
    </row>
    <row r="7" spans="1:2" x14ac:dyDescent="0.2">
      <c r="A7" s="6" t="s">
        <v>15</v>
      </c>
      <c r="B7">
        <v>4</v>
      </c>
    </row>
    <row r="8" spans="1:2" x14ac:dyDescent="0.2">
      <c r="A8" s="6" t="s">
        <v>11</v>
      </c>
      <c r="B8">
        <v>5</v>
      </c>
    </row>
    <row r="9" spans="1:2" x14ac:dyDescent="0.2">
      <c r="A9" s="6" t="s">
        <v>30</v>
      </c>
      <c r="B9">
        <v>25</v>
      </c>
    </row>
    <row r="10" spans="1:2" x14ac:dyDescent="0.2">
      <c r="A10" s="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399C-2D48-AC4B-8C14-76261F26662C}">
  <dimension ref="A3:B7"/>
  <sheetViews>
    <sheetView workbookViewId="0">
      <selection activeCell="H14" sqref="H14"/>
    </sheetView>
  </sheetViews>
  <sheetFormatPr baseColWidth="10" defaultRowHeight="16" x14ac:dyDescent="0.2"/>
  <cols>
    <col min="1" max="1" width="13" bestFit="1" customWidth="1"/>
    <col min="2" max="2" width="15.6640625" bestFit="1" customWidth="1"/>
  </cols>
  <sheetData>
    <row r="3" spans="1:2" x14ac:dyDescent="0.2">
      <c r="A3" s="5" t="s">
        <v>29</v>
      </c>
      <c r="B3" t="s">
        <v>31</v>
      </c>
    </row>
    <row r="4" spans="1:2" x14ac:dyDescent="0.2">
      <c r="A4" s="6" t="s">
        <v>7</v>
      </c>
      <c r="B4">
        <v>8</v>
      </c>
    </row>
    <row r="5" spans="1:2" x14ac:dyDescent="0.2">
      <c r="A5" s="6" t="s">
        <v>12</v>
      </c>
      <c r="B5">
        <v>8</v>
      </c>
    </row>
    <row r="6" spans="1:2" x14ac:dyDescent="0.2">
      <c r="A6" s="6" t="s">
        <v>10</v>
      </c>
      <c r="B6">
        <v>9</v>
      </c>
    </row>
    <row r="7" spans="1:2" x14ac:dyDescent="0.2">
      <c r="A7" s="6" t="s">
        <v>30</v>
      </c>
      <c r="B7">
        <v>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8F01-0BEF-4345-A3FB-0A26D76B17B0}">
  <dimension ref="A3:B15"/>
  <sheetViews>
    <sheetView workbookViewId="0">
      <selection activeCell="H14" sqref="H14"/>
    </sheetView>
  </sheetViews>
  <sheetFormatPr baseColWidth="10" defaultRowHeight="16" x14ac:dyDescent="0.2"/>
  <cols>
    <col min="1" max="1" width="13" bestFit="1" customWidth="1"/>
    <col min="2" max="2" width="15.6640625" bestFit="1" customWidth="1"/>
  </cols>
  <sheetData>
    <row r="3" spans="1:2" x14ac:dyDescent="0.2">
      <c r="A3" s="5" t="s">
        <v>29</v>
      </c>
      <c r="B3" t="s">
        <v>31</v>
      </c>
    </row>
    <row r="4" spans="1:2" x14ac:dyDescent="0.2">
      <c r="A4" s="10">
        <v>45663</v>
      </c>
      <c r="B4">
        <v>2</v>
      </c>
    </row>
    <row r="5" spans="1:2" x14ac:dyDescent="0.2">
      <c r="A5" s="10">
        <v>45664</v>
      </c>
      <c r="B5">
        <v>2</v>
      </c>
    </row>
    <row r="6" spans="1:2" x14ac:dyDescent="0.2">
      <c r="A6" s="10">
        <v>45665</v>
      </c>
      <c r="B6">
        <v>2</v>
      </c>
    </row>
    <row r="7" spans="1:2" x14ac:dyDescent="0.2">
      <c r="A7" s="10">
        <v>45666</v>
      </c>
      <c r="B7">
        <v>3</v>
      </c>
    </row>
    <row r="8" spans="1:2" x14ac:dyDescent="0.2">
      <c r="A8" s="10">
        <v>45667</v>
      </c>
      <c r="B8">
        <v>2</v>
      </c>
    </row>
    <row r="9" spans="1:2" x14ac:dyDescent="0.2">
      <c r="A9" s="10">
        <v>45668</v>
      </c>
      <c r="B9">
        <v>1</v>
      </c>
    </row>
    <row r="10" spans="1:2" x14ac:dyDescent="0.2">
      <c r="A10" s="10">
        <v>45669</v>
      </c>
      <c r="B10">
        <v>2</v>
      </c>
    </row>
    <row r="11" spans="1:2" x14ac:dyDescent="0.2">
      <c r="A11" s="10">
        <v>45670</v>
      </c>
      <c r="B11">
        <v>3</v>
      </c>
    </row>
    <row r="12" spans="1:2" x14ac:dyDescent="0.2">
      <c r="A12" s="10">
        <v>45671</v>
      </c>
      <c r="B12">
        <v>3</v>
      </c>
    </row>
    <row r="13" spans="1:2" x14ac:dyDescent="0.2">
      <c r="A13" s="10">
        <v>45672</v>
      </c>
      <c r="B13">
        <v>3</v>
      </c>
    </row>
    <row r="14" spans="1:2" x14ac:dyDescent="0.2">
      <c r="A14" s="10">
        <v>45673</v>
      </c>
      <c r="B14">
        <v>2</v>
      </c>
    </row>
    <row r="15" spans="1:2" x14ac:dyDescent="0.2">
      <c r="A15" s="10" t="s">
        <v>30</v>
      </c>
      <c r="B15">
        <v>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E164-2CCD-3140-85EA-456DF105A944}">
  <dimension ref="A1:J2"/>
  <sheetViews>
    <sheetView tabSelected="1" workbookViewId="0">
      <selection activeCell="K25" sqref="K25"/>
    </sheetView>
  </sheetViews>
  <sheetFormatPr baseColWidth="10" defaultRowHeight="16" x14ac:dyDescent="0.2"/>
  <cols>
    <col min="1" max="1" width="10.83203125" customWidth="1"/>
    <col min="5" max="5" width="10.83203125" customWidth="1"/>
  </cols>
  <sheetData>
    <row r="1" spans="1:10" x14ac:dyDescent="0.2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">
      <c r="A2" s="11" t="s">
        <v>33</v>
      </c>
      <c r="B2" s="11"/>
      <c r="C2" s="11"/>
      <c r="D2" s="11"/>
      <c r="E2" s="11"/>
      <c r="F2" s="11"/>
      <c r="G2" s="11"/>
      <c r="H2" s="11"/>
      <c r="I2" s="11"/>
      <c r="J2" s="11"/>
    </row>
  </sheetData>
  <mergeCells count="2">
    <mergeCell ref="A1:J1"/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helpdesk_tickets</vt:lpstr>
      <vt:lpstr>KPI_calculations</vt:lpstr>
      <vt:lpstr>Pivot_Tech</vt:lpstr>
      <vt:lpstr>Pivot_Priority</vt:lpstr>
      <vt:lpstr>Pivot_Time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Bush</dc:creator>
  <cp:lastModifiedBy>Kamal Bush</cp:lastModifiedBy>
  <dcterms:created xsi:type="dcterms:W3CDTF">2025-11-02T19:23:49Z</dcterms:created>
  <dcterms:modified xsi:type="dcterms:W3CDTF">2025-11-05T16:46:21Z</dcterms:modified>
</cp:coreProperties>
</file>